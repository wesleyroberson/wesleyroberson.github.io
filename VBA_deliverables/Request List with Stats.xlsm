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ocuments\Code\VBA_deliverables\"/>
    </mc:Choice>
  </mc:AlternateContent>
  <xr:revisionPtr revIDLastSave="0" documentId="13_ncr:1_{40AD4CDD-5582-43F2-9068-8BD72C2C815B}" xr6:coauthVersionLast="47" xr6:coauthVersionMax="47" xr10:uidLastSave="{00000000-0000-0000-0000-000000000000}"/>
  <bookViews>
    <workbookView xWindow="-110" yWindow="-110" windowWidth="19420" windowHeight="10420" xr2:uid="{27EEF220-9BFD-4D25-9BD4-8E612F8804FE}"/>
  </bookViews>
  <sheets>
    <sheet name="SUMMARY" sheetId="1" r:id="rId1"/>
    <sheet name="IT Request List" sheetId="2" r:id="rId2"/>
  </sheets>
  <definedNames>
    <definedName name="_xlnm._FilterDatabase" localSheetId="1" hidden="1">'IT Request List'!$B$23:$L$23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2" l="1"/>
  <c r="F10" i="2"/>
  <c r="F11" i="2"/>
  <c r="F12" i="2"/>
  <c r="F13" i="2"/>
  <c r="F14" i="2"/>
  <c r="F9" i="2"/>
</calcChain>
</file>

<file path=xl/sharedStrings.xml><?xml version="1.0" encoding="utf-8"?>
<sst xmlns="http://schemas.openxmlformats.org/spreadsheetml/2006/main" count="223" uniqueCount="80">
  <si>
    <t>IT Request List Summary</t>
  </si>
  <si>
    <t>Overdue Requests:</t>
  </si>
  <si>
    <t>Escalated Requests:</t>
  </si>
  <si>
    <t>Incomplete Requests:</t>
  </si>
  <si>
    <t>Completed Requests:</t>
  </si>
  <si>
    <t>Requests Due within a Week:</t>
  </si>
  <si>
    <t>Walkthrough:</t>
  </si>
  <si>
    <t>Testing:</t>
  </si>
  <si>
    <t>Total:</t>
  </si>
  <si>
    <t>Request #</t>
  </si>
  <si>
    <t>Associated Request</t>
  </si>
  <si>
    <t>Process Area</t>
  </si>
  <si>
    <t>Associated Control</t>
  </si>
  <si>
    <t>Request/Description</t>
  </si>
  <si>
    <t>Evidence Type</t>
  </si>
  <si>
    <t>Date Requested</t>
  </si>
  <si>
    <t>Due Date</t>
  </si>
  <si>
    <t>Escalation Date</t>
  </si>
  <si>
    <t>Received Date</t>
  </si>
  <si>
    <t>Evidence Status</t>
  </si>
  <si>
    <t>Process Area 1</t>
  </si>
  <si>
    <t>Process Area 2</t>
  </si>
  <si>
    <t>Process Area 3</t>
  </si>
  <si>
    <t>Process Area 4</t>
  </si>
  <si>
    <t>Control 1</t>
  </si>
  <si>
    <t>Control 2</t>
  </si>
  <si>
    <t>Control 3</t>
  </si>
  <si>
    <t>Control 4</t>
  </si>
  <si>
    <t>Control 5</t>
  </si>
  <si>
    <t>Control 6</t>
  </si>
  <si>
    <t>Control 7</t>
  </si>
  <si>
    <t>Control 8</t>
  </si>
  <si>
    <t>Control 9</t>
  </si>
  <si>
    <t>Control 10</t>
  </si>
  <si>
    <t>Control 11</t>
  </si>
  <si>
    <t>Description 1</t>
  </si>
  <si>
    <t>Description 2</t>
  </si>
  <si>
    <t>Description 3</t>
  </si>
  <si>
    <t>Description 4</t>
  </si>
  <si>
    <t>Description 5</t>
  </si>
  <si>
    <t>Description 6</t>
  </si>
  <si>
    <t>Description 7</t>
  </si>
  <si>
    <t>Description 8</t>
  </si>
  <si>
    <t>Description 9</t>
  </si>
  <si>
    <t>Description 10</t>
  </si>
  <si>
    <t>Description 11</t>
  </si>
  <si>
    <t>Description 12</t>
  </si>
  <si>
    <t>Description 13</t>
  </si>
  <si>
    <t>Description 14</t>
  </si>
  <si>
    <t>Description 15</t>
  </si>
  <si>
    <t>Description 16</t>
  </si>
  <si>
    <t>Description 17</t>
  </si>
  <si>
    <t>Description 18</t>
  </si>
  <si>
    <t>Description 19</t>
  </si>
  <si>
    <t>Description 20</t>
  </si>
  <si>
    <t>Description 21</t>
  </si>
  <si>
    <t>Description 22</t>
  </si>
  <si>
    <t>Description 23</t>
  </si>
  <si>
    <t>Description 24</t>
  </si>
  <si>
    <t>Description 25</t>
  </si>
  <si>
    <t>Description 26</t>
  </si>
  <si>
    <t>Description 27</t>
  </si>
  <si>
    <t>Description 28</t>
  </si>
  <si>
    <t>Description 29</t>
  </si>
  <si>
    <t>Description 30</t>
  </si>
  <si>
    <t>Walkthrough</t>
  </si>
  <si>
    <t>Testing</t>
  </si>
  <si>
    <t>TBD</t>
  </si>
  <si>
    <t>Fully Received</t>
  </si>
  <si>
    <t>Overdue</t>
  </si>
  <si>
    <t>Request Sent</t>
  </si>
  <si>
    <t>0, (0%)</t>
  </si>
  <si>
    <t>Count</t>
  </si>
  <si>
    <t>Partially Received</t>
  </si>
  <si>
    <t>Follow-up</t>
  </si>
  <si>
    <t>On Hold</t>
  </si>
  <si>
    <t>Total Requests</t>
  </si>
  <si>
    <t>Header Data</t>
  </si>
  <si>
    <t>3, (17%)</t>
  </si>
  <si>
    <t>3, (10%)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</si>
</sst>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11"/>
      <color rgb="FF9C3203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D9B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C7CE"/>
      <color rgb="FF9C3203"/>
      <color rgb="FF9C6500"/>
      <color rgb="FF006100"/>
      <color rgb="FF9C0006"/>
      <color rgb="FFFFD9B5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12</xdr:row>
          <xdr:rowOff>12700</xdr:rowOff>
        </xdr:from>
        <xdr:to>
          <xdr:col>12</xdr:col>
          <xdr:colOff>101600</xdr:colOff>
          <xdr:row>15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Update Statistics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C0AD3-8022-415E-A0FB-A07B79A9F4DF}">
  <sheetPr codeName="Sheet1"/>
  <dimension ref="B2:P16"/>
  <sheetViews>
    <sheetView tabSelected="1" workbookViewId="0"/>
  </sheetViews>
  <sheetFormatPr defaultRowHeight="14.5" x14ac:dyDescent="0.35"/>
  <cols>
    <col min="1" max="1" width="3.1796875" customWidth="1"/>
    <col min="5" max="5" width="3.1796875" customWidth="1"/>
    <col min="9" max="9" width="3.1796875" customWidth="1"/>
    <col min="13" max="13" width="3.1796875" customWidth="1"/>
  </cols>
  <sheetData>
    <row r="2" spans="2:16" x14ac:dyDescent="0.35">
      <c r="B2" s="1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3" spans="2:16" x14ac:dyDescent="0.35"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6"/>
    </row>
    <row r="5" spans="2:16" x14ac:dyDescent="0.35">
      <c r="B5" s="22" t="s">
        <v>3</v>
      </c>
      <c r="C5" s="23"/>
      <c r="D5" s="24"/>
      <c r="F5" s="25" t="s">
        <v>5</v>
      </c>
      <c r="G5" s="26"/>
      <c r="H5" s="27"/>
      <c r="J5" s="16" t="s">
        <v>1</v>
      </c>
      <c r="K5" s="17"/>
      <c r="L5" s="18"/>
      <c r="N5" s="16" t="s">
        <v>2</v>
      </c>
      <c r="O5" s="17"/>
      <c r="P5" s="18"/>
    </row>
    <row r="6" spans="2:16" x14ac:dyDescent="0.35">
      <c r="B6" s="7" t="s">
        <v>6</v>
      </c>
      <c r="C6" s="8"/>
      <c r="D6" s="9">
        <v>15</v>
      </c>
      <c r="F6" s="7" t="s">
        <v>6</v>
      </c>
      <c r="G6" s="8"/>
      <c r="H6" s="9">
        <v>11</v>
      </c>
      <c r="J6" s="7" t="s">
        <v>6</v>
      </c>
      <c r="K6" s="8"/>
      <c r="L6" s="9">
        <v>3</v>
      </c>
      <c r="N6" s="7" t="s">
        <v>6</v>
      </c>
      <c r="O6" s="8"/>
      <c r="P6" s="9">
        <v>1</v>
      </c>
    </row>
    <row r="7" spans="2:16" x14ac:dyDescent="0.35">
      <c r="B7" s="10" t="s">
        <v>7</v>
      </c>
      <c r="C7" s="11"/>
      <c r="D7" s="12">
        <v>11</v>
      </c>
      <c r="F7" s="10" t="s">
        <v>7</v>
      </c>
      <c r="G7" s="11"/>
      <c r="H7" s="12">
        <v>0</v>
      </c>
      <c r="J7" s="10" t="s">
        <v>7</v>
      </c>
      <c r="K7" s="11"/>
      <c r="L7" s="12">
        <v>0</v>
      </c>
      <c r="N7" s="10" t="s">
        <v>7</v>
      </c>
      <c r="O7" s="11"/>
      <c r="P7" s="12">
        <v>0</v>
      </c>
    </row>
    <row r="8" spans="2:16" x14ac:dyDescent="0.35">
      <c r="B8" s="10"/>
      <c r="C8" s="11"/>
      <c r="D8" s="12"/>
      <c r="F8" s="10"/>
      <c r="G8" s="11"/>
      <c r="H8" s="12"/>
      <c r="J8" s="10"/>
      <c r="K8" s="11"/>
      <c r="L8" s="12"/>
      <c r="N8" s="10"/>
      <c r="O8" s="11"/>
      <c r="P8" s="12"/>
    </row>
    <row r="9" spans="2:16" x14ac:dyDescent="0.35">
      <c r="B9" s="13"/>
      <c r="C9" s="14" t="s">
        <v>8</v>
      </c>
      <c r="D9" s="15"/>
      <c r="F9" s="13"/>
      <c r="G9" s="14" t="s">
        <v>8</v>
      </c>
      <c r="H9" s="15"/>
      <c r="J9" s="13"/>
      <c r="K9" s="14" t="s">
        <v>8</v>
      </c>
      <c r="L9" s="15"/>
      <c r="N9" s="13"/>
      <c r="O9" s="14" t="s">
        <v>8</v>
      </c>
      <c r="P9" s="15"/>
    </row>
    <row r="12" spans="2:16" x14ac:dyDescent="0.35">
      <c r="B12" s="19" t="s">
        <v>4</v>
      </c>
      <c r="C12" s="20"/>
      <c r="D12" s="21"/>
    </row>
    <row r="13" spans="2:16" x14ac:dyDescent="0.35">
      <c r="B13" s="7" t="s">
        <v>6</v>
      </c>
      <c r="C13" s="8"/>
      <c r="D13" s="30" t="s">
        <v>78</v>
      </c>
    </row>
    <row r="14" spans="2:16" x14ac:dyDescent="0.35">
      <c r="B14" s="10" t="s">
        <v>7</v>
      </c>
      <c r="C14" s="11"/>
      <c r="D14" s="31" t="s">
        <v>71</v>
      </c>
    </row>
    <row r="15" spans="2:16" x14ac:dyDescent="0.35">
      <c r="B15" s="10"/>
      <c r="C15" s="11"/>
      <c r="D15" s="31"/>
    </row>
    <row r="16" spans="2:16" x14ac:dyDescent="0.35">
      <c r="B16" s="13"/>
      <c r="C16" s="14" t="s">
        <v>8</v>
      </c>
      <c r="D16" s="32" t="s">
        <v>79</v>
      </c>
    </row>
  </sheetData>
  <mergeCells count="6">
    <mergeCell ref="B2:P3"/>
    <mergeCell ref="B5:D5"/>
    <mergeCell ref="B12:D12"/>
    <mergeCell ref="J5:L5"/>
    <mergeCell ref="N5:P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videnceRequestSummaryStats">
                <anchor moveWithCells="1" sizeWithCells="1">
                  <from>
                    <xdr:col>8</xdr:col>
                    <xdr:colOff>133350</xdr:colOff>
                    <xdr:row>12</xdr:row>
                    <xdr:rowOff>12700</xdr:rowOff>
                  </from>
                  <to>
                    <xdr:col>12</xdr:col>
                    <xdr:colOff>101600</xdr:colOff>
                    <xdr:row>15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C7CEC-22DB-4D9E-88D5-27100784A49E}">
  <sheetPr codeName="Sheet2"/>
  <dimension ref="B1:L53"/>
  <sheetViews>
    <sheetView showGridLines="0" topLeftCell="A7" zoomScale="80" zoomScaleNormal="80" workbookViewId="0">
      <selection activeCell="B23" sqref="B23"/>
    </sheetView>
  </sheetViews>
  <sheetFormatPr defaultRowHeight="14.5" x14ac:dyDescent="0.35"/>
  <cols>
    <col min="1" max="1" width="2.1796875" customWidth="1"/>
    <col min="2" max="3" width="10.81640625" customWidth="1"/>
    <col min="4" max="4" width="22.36328125" customWidth="1"/>
    <col min="5" max="5" width="33.26953125" customWidth="1"/>
    <col min="6" max="6" width="24.453125" customWidth="1"/>
    <col min="7" max="7" width="13.54296875" customWidth="1"/>
    <col min="8" max="8" width="14.36328125" customWidth="1"/>
    <col min="9" max="9" width="22.6328125" customWidth="1"/>
    <col min="10" max="10" width="13.81640625" customWidth="1"/>
    <col min="11" max="11" width="12.7265625" customWidth="1"/>
    <col min="12" max="12" width="24.54296875" customWidth="1"/>
  </cols>
  <sheetData>
    <row r="1" spans="3:6" hidden="1" x14ac:dyDescent="0.35"/>
    <row r="2" spans="3:6" hidden="1" x14ac:dyDescent="0.35">
      <c r="C2" t="s">
        <v>77</v>
      </c>
    </row>
    <row r="3" spans="3:6" hidden="1" x14ac:dyDescent="0.35"/>
    <row r="4" spans="3:6" hidden="1" x14ac:dyDescent="0.35"/>
    <row r="5" spans="3:6" hidden="1" x14ac:dyDescent="0.35"/>
    <row r="6" spans="3:6" hidden="1" x14ac:dyDescent="0.35"/>
    <row r="8" spans="3:6" x14ac:dyDescent="0.35">
      <c r="E8" s="36" t="s">
        <v>19</v>
      </c>
      <c r="F8" s="36" t="s">
        <v>72</v>
      </c>
    </row>
    <row r="9" spans="3:6" x14ac:dyDescent="0.35">
      <c r="E9" s="37" t="s">
        <v>70</v>
      </c>
      <c r="F9" s="35">
        <f>COUNTIFS($L$24:$L$53,E9)</f>
        <v>23</v>
      </c>
    </row>
    <row r="10" spans="3:6" x14ac:dyDescent="0.35">
      <c r="E10" s="40" t="s">
        <v>73</v>
      </c>
      <c r="F10" s="35">
        <f t="shared" ref="F10:F15" si="0">COUNTIFS($L$24:$L$53,E10)</f>
        <v>0</v>
      </c>
    </row>
    <row r="11" spans="3:6" x14ac:dyDescent="0.35">
      <c r="E11" s="38" t="s">
        <v>68</v>
      </c>
      <c r="F11" s="35">
        <f t="shared" si="0"/>
        <v>4</v>
      </c>
    </row>
    <row r="12" spans="3:6" x14ac:dyDescent="0.35">
      <c r="E12" s="39" t="s">
        <v>74</v>
      </c>
      <c r="F12" s="35">
        <f t="shared" si="0"/>
        <v>0</v>
      </c>
    </row>
    <row r="13" spans="3:6" x14ac:dyDescent="0.35">
      <c r="E13" s="36" t="s">
        <v>75</v>
      </c>
      <c r="F13" s="35">
        <f t="shared" si="0"/>
        <v>0</v>
      </c>
    </row>
    <row r="14" spans="3:6" x14ac:dyDescent="0.35">
      <c r="E14" s="41" t="s">
        <v>69</v>
      </c>
      <c r="F14" s="35">
        <f t="shared" si="0"/>
        <v>3</v>
      </c>
    </row>
    <row r="15" spans="3:6" x14ac:dyDescent="0.35">
      <c r="E15" s="35" t="s">
        <v>76</v>
      </c>
      <c r="F15" s="35">
        <f>SUM(F9:F14)</f>
        <v>30</v>
      </c>
    </row>
    <row r="23" spans="2:12" ht="29" x14ac:dyDescent="0.35">
      <c r="B23" s="33" t="s">
        <v>9</v>
      </c>
      <c r="C23" s="34" t="s">
        <v>10</v>
      </c>
      <c r="D23" s="33" t="s">
        <v>11</v>
      </c>
      <c r="E23" s="33" t="s">
        <v>12</v>
      </c>
      <c r="F23" s="33" t="s">
        <v>13</v>
      </c>
      <c r="G23" s="33" t="s">
        <v>14</v>
      </c>
      <c r="H23" s="33" t="s">
        <v>15</v>
      </c>
      <c r="I23" s="33" t="s">
        <v>16</v>
      </c>
      <c r="J23" s="34" t="s">
        <v>17</v>
      </c>
      <c r="K23" s="34" t="s">
        <v>18</v>
      </c>
      <c r="L23" s="33" t="s">
        <v>19</v>
      </c>
    </row>
    <row r="24" spans="2:12" x14ac:dyDescent="0.35">
      <c r="B24" s="28">
        <v>1</v>
      </c>
      <c r="C24" s="28">
        <v>311</v>
      </c>
      <c r="D24" s="28" t="s">
        <v>20</v>
      </c>
      <c r="E24" s="28" t="s">
        <v>24</v>
      </c>
      <c r="F24" s="28" t="s">
        <v>35</v>
      </c>
      <c r="G24" s="28" t="s">
        <v>65</v>
      </c>
      <c r="H24" s="29">
        <v>45007</v>
      </c>
      <c r="I24" s="29">
        <v>45024</v>
      </c>
      <c r="J24" s="29">
        <v>45029</v>
      </c>
      <c r="K24" s="29">
        <v>45023</v>
      </c>
      <c r="L24" s="28" t="s">
        <v>68</v>
      </c>
    </row>
    <row r="25" spans="2:12" x14ac:dyDescent="0.35">
      <c r="B25" s="28">
        <v>2</v>
      </c>
      <c r="C25" s="28">
        <v>312</v>
      </c>
      <c r="D25" s="28" t="s">
        <v>20</v>
      </c>
      <c r="E25" s="28" t="s">
        <v>24</v>
      </c>
      <c r="F25" s="28" t="s">
        <v>36</v>
      </c>
      <c r="G25" s="28" t="s">
        <v>65</v>
      </c>
      <c r="H25" s="29">
        <v>45007</v>
      </c>
      <c r="I25" s="29">
        <v>45024</v>
      </c>
      <c r="J25" s="29">
        <v>45029</v>
      </c>
      <c r="K25" s="29">
        <v>45022</v>
      </c>
      <c r="L25" s="28" t="s">
        <v>68</v>
      </c>
    </row>
    <row r="26" spans="2:12" x14ac:dyDescent="0.35">
      <c r="B26" s="28">
        <v>3</v>
      </c>
      <c r="C26" s="28">
        <v>313</v>
      </c>
      <c r="D26" s="28" t="s">
        <v>20</v>
      </c>
      <c r="E26" s="28" t="s">
        <v>24</v>
      </c>
      <c r="F26" s="28" t="s">
        <v>37</v>
      </c>
      <c r="G26" s="28" t="s">
        <v>65</v>
      </c>
      <c r="H26" s="29">
        <v>45007</v>
      </c>
      <c r="I26" s="29">
        <v>45017</v>
      </c>
      <c r="J26" s="29">
        <v>45022</v>
      </c>
      <c r="K26" s="29" t="s">
        <v>67</v>
      </c>
      <c r="L26" s="28" t="s">
        <v>69</v>
      </c>
    </row>
    <row r="27" spans="2:12" x14ac:dyDescent="0.35">
      <c r="B27" s="28">
        <v>4</v>
      </c>
      <c r="C27" s="28">
        <v>314</v>
      </c>
      <c r="D27" s="28" t="s">
        <v>20</v>
      </c>
      <c r="E27" s="28" t="s">
        <v>25</v>
      </c>
      <c r="F27" s="28" t="s">
        <v>38</v>
      </c>
      <c r="G27" s="28" t="s">
        <v>65</v>
      </c>
      <c r="H27" s="29">
        <v>45007</v>
      </c>
      <c r="I27" s="29">
        <v>45021</v>
      </c>
      <c r="J27" s="29">
        <v>45024</v>
      </c>
      <c r="K27" s="28" t="s">
        <v>67</v>
      </c>
      <c r="L27" s="28" t="s">
        <v>69</v>
      </c>
    </row>
    <row r="28" spans="2:12" x14ac:dyDescent="0.35">
      <c r="B28" s="28">
        <v>5</v>
      </c>
      <c r="C28" s="28">
        <v>316</v>
      </c>
      <c r="D28" s="28" t="s">
        <v>20</v>
      </c>
      <c r="E28" s="28" t="s">
        <v>25</v>
      </c>
      <c r="F28" s="28" t="s">
        <v>39</v>
      </c>
      <c r="G28" s="28" t="s">
        <v>65</v>
      </c>
      <c r="H28" s="29">
        <v>45007</v>
      </c>
      <c r="I28" s="29">
        <v>45021</v>
      </c>
      <c r="J28" s="29">
        <v>45024</v>
      </c>
      <c r="K28" s="29">
        <v>45021</v>
      </c>
      <c r="L28" s="28" t="s">
        <v>68</v>
      </c>
    </row>
    <row r="29" spans="2:12" x14ac:dyDescent="0.35">
      <c r="B29" s="28">
        <v>6</v>
      </c>
      <c r="C29" s="28">
        <v>317</v>
      </c>
      <c r="D29" s="28" t="s">
        <v>20</v>
      </c>
      <c r="E29" s="28" t="s">
        <v>25</v>
      </c>
      <c r="F29" s="28" t="s">
        <v>40</v>
      </c>
      <c r="G29" s="28" t="s">
        <v>65</v>
      </c>
      <c r="H29" s="29">
        <v>45007</v>
      </c>
      <c r="I29" s="29">
        <v>45021</v>
      </c>
      <c r="J29" s="29">
        <v>45024</v>
      </c>
      <c r="K29" s="29">
        <v>45022</v>
      </c>
      <c r="L29" s="28" t="s">
        <v>68</v>
      </c>
    </row>
    <row r="30" spans="2:12" x14ac:dyDescent="0.35">
      <c r="B30" s="28">
        <v>7</v>
      </c>
      <c r="C30" s="28">
        <v>318</v>
      </c>
      <c r="D30" s="28" t="s">
        <v>21</v>
      </c>
      <c r="E30" s="28" t="s">
        <v>26</v>
      </c>
      <c r="F30" s="28" t="s">
        <v>41</v>
      </c>
      <c r="G30" s="28" t="s">
        <v>65</v>
      </c>
      <c r="H30" s="29">
        <v>45007</v>
      </c>
      <c r="I30" s="29">
        <v>45021</v>
      </c>
      <c r="J30" s="29">
        <v>45024</v>
      </c>
      <c r="K30" s="28" t="s">
        <v>67</v>
      </c>
      <c r="L30" s="28" t="s">
        <v>69</v>
      </c>
    </row>
    <row r="31" spans="2:12" x14ac:dyDescent="0.35">
      <c r="B31" s="28">
        <v>8</v>
      </c>
      <c r="C31" s="28">
        <v>319</v>
      </c>
      <c r="D31" s="28" t="s">
        <v>21</v>
      </c>
      <c r="E31" s="28" t="s">
        <v>26</v>
      </c>
      <c r="F31" s="28" t="s">
        <v>42</v>
      </c>
      <c r="G31" s="28" t="s">
        <v>65</v>
      </c>
      <c r="H31" s="29">
        <v>45007</v>
      </c>
      <c r="I31" s="29">
        <v>45024</v>
      </c>
      <c r="J31" s="29">
        <v>45029</v>
      </c>
      <c r="K31" s="28" t="s">
        <v>67</v>
      </c>
      <c r="L31" s="28" t="s">
        <v>70</v>
      </c>
    </row>
    <row r="32" spans="2:12" x14ac:dyDescent="0.35">
      <c r="B32" s="28">
        <v>9</v>
      </c>
      <c r="C32" s="28">
        <v>320</v>
      </c>
      <c r="D32" s="28" t="s">
        <v>21</v>
      </c>
      <c r="E32" s="28" t="s">
        <v>26</v>
      </c>
      <c r="F32" s="28" t="s">
        <v>43</v>
      </c>
      <c r="G32" s="28" t="s">
        <v>65</v>
      </c>
      <c r="H32" s="29">
        <v>45007</v>
      </c>
      <c r="I32" s="28" t="s">
        <v>67</v>
      </c>
      <c r="J32" s="28" t="s">
        <v>67</v>
      </c>
      <c r="K32" s="28" t="s">
        <v>67</v>
      </c>
      <c r="L32" s="28" t="s">
        <v>70</v>
      </c>
    </row>
    <row r="33" spans="2:12" x14ac:dyDescent="0.35">
      <c r="B33" s="28">
        <v>10</v>
      </c>
      <c r="C33" s="28">
        <v>321</v>
      </c>
      <c r="D33" s="28" t="s">
        <v>21</v>
      </c>
      <c r="E33" s="28" t="s">
        <v>27</v>
      </c>
      <c r="F33" s="28" t="s">
        <v>44</v>
      </c>
      <c r="G33" s="28" t="s">
        <v>65</v>
      </c>
      <c r="H33" s="29">
        <v>45007</v>
      </c>
      <c r="I33" s="29">
        <v>45028</v>
      </c>
      <c r="J33" s="29">
        <v>45031</v>
      </c>
      <c r="K33" s="28" t="s">
        <v>67</v>
      </c>
      <c r="L33" s="28" t="s">
        <v>70</v>
      </c>
    </row>
    <row r="34" spans="2:12" x14ac:dyDescent="0.35">
      <c r="B34" s="28">
        <v>11</v>
      </c>
      <c r="C34" s="28">
        <v>323</v>
      </c>
      <c r="D34" s="28" t="s">
        <v>21</v>
      </c>
      <c r="E34" s="28" t="s">
        <v>27</v>
      </c>
      <c r="F34" s="28" t="s">
        <v>45</v>
      </c>
      <c r="G34" s="28" t="s">
        <v>65</v>
      </c>
      <c r="H34" s="29">
        <v>45007</v>
      </c>
      <c r="I34" s="29">
        <v>45028</v>
      </c>
      <c r="J34" s="29">
        <v>45031</v>
      </c>
      <c r="K34" s="28" t="s">
        <v>67</v>
      </c>
      <c r="L34" s="28" t="s">
        <v>70</v>
      </c>
    </row>
    <row r="35" spans="2:12" x14ac:dyDescent="0.35">
      <c r="B35" s="28">
        <v>12</v>
      </c>
      <c r="C35" s="28">
        <v>324</v>
      </c>
      <c r="D35" s="28" t="s">
        <v>21</v>
      </c>
      <c r="E35" s="28" t="s">
        <v>28</v>
      </c>
      <c r="F35" s="28" t="s">
        <v>46</v>
      </c>
      <c r="G35" s="28" t="s">
        <v>65</v>
      </c>
      <c r="H35" s="29">
        <v>45007</v>
      </c>
      <c r="I35" s="29">
        <v>45028</v>
      </c>
      <c r="J35" s="29">
        <v>45031</v>
      </c>
      <c r="K35" s="28" t="s">
        <v>67</v>
      </c>
      <c r="L35" s="28" t="s">
        <v>70</v>
      </c>
    </row>
    <row r="36" spans="2:12" x14ac:dyDescent="0.35">
      <c r="B36" s="28">
        <v>13</v>
      </c>
      <c r="C36" s="28">
        <v>326</v>
      </c>
      <c r="D36" s="28" t="s">
        <v>21</v>
      </c>
      <c r="E36" s="28" t="s">
        <v>28</v>
      </c>
      <c r="F36" s="28" t="s">
        <v>47</v>
      </c>
      <c r="G36" s="28" t="s">
        <v>65</v>
      </c>
      <c r="H36" s="29">
        <v>45007</v>
      </c>
      <c r="I36" s="29">
        <v>45028</v>
      </c>
      <c r="J36" s="29">
        <v>45031</v>
      </c>
      <c r="K36" s="28" t="s">
        <v>67</v>
      </c>
      <c r="L36" s="28" t="s">
        <v>70</v>
      </c>
    </row>
    <row r="37" spans="2:12" x14ac:dyDescent="0.35">
      <c r="B37" s="28">
        <v>14</v>
      </c>
      <c r="C37" s="28">
        <v>327</v>
      </c>
      <c r="D37" s="28" t="s">
        <v>22</v>
      </c>
      <c r="E37" s="28" t="s">
        <v>29</v>
      </c>
      <c r="F37" s="28" t="s">
        <v>48</v>
      </c>
      <c r="G37" s="28" t="s">
        <v>65</v>
      </c>
      <c r="H37" s="29">
        <v>45007</v>
      </c>
      <c r="I37" s="29">
        <v>45028</v>
      </c>
      <c r="J37" s="29">
        <v>45031</v>
      </c>
      <c r="K37" s="28" t="s">
        <v>67</v>
      </c>
      <c r="L37" s="28" t="s">
        <v>70</v>
      </c>
    </row>
    <row r="38" spans="2:12" x14ac:dyDescent="0.35">
      <c r="B38" s="28">
        <v>15</v>
      </c>
      <c r="C38" s="28">
        <v>328</v>
      </c>
      <c r="D38" s="28" t="s">
        <v>22</v>
      </c>
      <c r="E38" s="28" t="s">
        <v>29</v>
      </c>
      <c r="F38" s="28" t="s">
        <v>49</v>
      </c>
      <c r="G38" s="28" t="s">
        <v>65</v>
      </c>
      <c r="H38" s="29">
        <v>45007</v>
      </c>
      <c r="I38" s="29">
        <v>45028</v>
      </c>
      <c r="J38" s="29">
        <v>45031</v>
      </c>
      <c r="K38" s="28" t="s">
        <v>67</v>
      </c>
      <c r="L38" s="28" t="s">
        <v>70</v>
      </c>
    </row>
    <row r="39" spans="2:12" x14ac:dyDescent="0.35">
      <c r="B39" s="28">
        <v>16</v>
      </c>
      <c r="C39" s="28">
        <v>329</v>
      </c>
      <c r="D39" s="28" t="s">
        <v>22</v>
      </c>
      <c r="E39" s="28" t="s">
        <v>30</v>
      </c>
      <c r="F39" s="28" t="s">
        <v>50</v>
      </c>
      <c r="G39" s="28" t="s">
        <v>65</v>
      </c>
      <c r="H39" s="29">
        <v>45007</v>
      </c>
      <c r="I39" s="29">
        <v>45028</v>
      </c>
      <c r="J39" s="29">
        <v>45031</v>
      </c>
      <c r="K39" s="28" t="s">
        <v>67</v>
      </c>
      <c r="L39" s="28" t="s">
        <v>70</v>
      </c>
    </row>
    <row r="40" spans="2:12" x14ac:dyDescent="0.35">
      <c r="B40" s="28">
        <v>17</v>
      </c>
      <c r="C40" s="28">
        <v>330</v>
      </c>
      <c r="D40" s="28" t="s">
        <v>22</v>
      </c>
      <c r="E40" s="28" t="s">
        <v>30</v>
      </c>
      <c r="F40" s="28" t="s">
        <v>51</v>
      </c>
      <c r="G40" s="28" t="s">
        <v>65</v>
      </c>
      <c r="H40" s="29">
        <v>45007</v>
      </c>
      <c r="I40" s="29">
        <v>45028</v>
      </c>
      <c r="J40" s="29">
        <v>45031</v>
      </c>
      <c r="K40" s="28" t="s">
        <v>67</v>
      </c>
      <c r="L40" s="28" t="s">
        <v>70</v>
      </c>
    </row>
    <row r="41" spans="2:12" x14ac:dyDescent="0.35">
      <c r="B41" s="28">
        <v>18</v>
      </c>
      <c r="C41" s="28">
        <v>331</v>
      </c>
      <c r="D41" s="28" t="s">
        <v>22</v>
      </c>
      <c r="E41" s="28" t="s">
        <v>30</v>
      </c>
      <c r="F41" s="28" t="s">
        <v>52</v>
      </c>
      <c r="G41" s="28" t="s">
        <v>65</v>
      </c>
      <c r="H41" s="29">
        <v>45007</v>
      </c>
      <c r="I41" s="29">
        <v>45028</v>
      </c>
      <c r="J41" s="29">
        <v>45031</v>
      </c>
      <c r="K41" s="28" t="s">
        <v>67</v>
      </c>
      <c r="L41" s="28" t="s">
        <v>70</v>
      </c>
    </row>
    <row r="42" spans="2:12" x14ac:dyDescent="0.35">
      <c r="B42" s="28">
        <v>19</v>
      </c>
      <c r="C42" s="28">
        <v>332</v>
      </c>
      <c r="D42" s="28" t="s">
        <v>22</v>
      </c>
      <c r="E42" s="28" t="s">
        <v>30</v>
      </c>
      <c r="F42" s="28" t="s">
        <v>53</v>
      </c>
      <c r="G42" s="28" t="s">
        <v>65</v>
      </c>
      <c r="H42" s="29">
        <v>45007</v>
      </c>
      <c r="I42" s="29">
        <v>45028</v>
      </c>
      <c r="J42" s="29">
        <v>45031</v>
      </c>
      <c r="K42" s="28" t="s">
        <v>67</v>
      </c>
      <c r="L42" s="28" t="s">
        <v>70</v>
      </c>
    </row>
    <row r="43" spans="2:12" x14ac:dyDescent="0.35">
      <c r="B43" s="28">
        <v>20</v>
      </c>
      <c r="C43" s="28">
        <v>338</v>
      </c>
      <c r="D43" s="28" t="s">
        <v>22</v>
      </c>
      <c r="E43" s="28" t="s">
        <v>30</v>
      </c>
      <c r="F43" s="28" t="s">
        <v>54</v>
      </c>
      <c r="G43" s="28" t="s">
        <v>66</v>
      </c>
      <c r="H43" s="29">
        <v>45007</v>
      </c>
      <c r="I43" s="29">
        <v>45080</v>
      </c>
      <c r="J43" s="29">
        <v>45087</v>
      </c>
      <c r="K43" s="28" t="s">
        <v>67</v>
      </c>
      <c r="L43" s="28" t="s">
        <v>70</v>
      </c>
    </row>
    <row r="44" spans="2:12" x14ac:dyDescent="0.35">
      <c r="B44" s="28">
        <v>21</v>
      </c>
      <c r="C44" s="28">
        <v>339</v>
      </c>
      <c r="D44" s="28" t="s">
        <v>22</v>
      </c>
      <c r="E44" s="28" t="s">
        <v>30</v>
      </c>
      <c r="F44" s="28" t="s">
        <v>55</v>
      </c>
      <c r="G44" s="28" t="s">
        <v>66</v>
      </c>
      <c r="H44" s="29">
        <v>45007</v>
      </c>
      <c r="I44" s="29">
        <v>45080</v>
      </c>
      <c r="J44" s="29">
        <v>45087</v>
      </c>
      <c r="K44" s="28" t="s">
        <v>67</v>
      </c>
      <c r="L44" s="28" t="s">
        <v>70</v>
      </c>
    </row>
    <row r="45" spans="2:12" x14ac:dyDescent="0.35">
      <c r="B45" s="28">
        <v>22</v>
      </c>
      <c r="C45" s="28">
        <v>340</v>
      </c>
      <c r="D45" s="28" t="s">
        <v>22</v>
      </c>
      <c r="E45" s="28" t="s">
        <v>31</v>
      </c>
      <c r="F45" s="28" t="s">
        <v>56</v>
      </c>
      <c r="G45" s="28" t="s">
        <v>66</v>
      </c>
      <c r="H45" s="29">
        <v>45007</v>
      </c>
      <c r="I45" s="29">
        <v>45080</v>
      </c>
      <c r="J45" s="29">
        <v>45087</v>
      </c>
      <c r="K45" s="28" t="s">
        <v>67</v>
      </c>
      <c r="L45" s="28" t="s">
        <v>70</v>
      </c>
    </row>
    <row r="46" spans="2:12" x14ac:dyDescent="0.35">
      <c r="B46" s="28">
        <v>23</v>
      </c>
      <c r="C46" s="28">
        <v>341</v>
      </c>
      <c r="D46" s="28" t="s">
        <v>22</v>
      </c>
      <c r="E46" s="28" t="s">
        <v>31</v>
      </c>
      <c r="F46" s="28" t="s">
        <v>57</v>
      </c>
      <c r="G46" s="28" t="s">
        <v>66</v>
      </c>
      <c r="H46" s="29">
        <v>45007</v>
      </c>
      <c r="I46" s="29">
        <v>45080</v>
      </c>
      <c r="J46" s="29">
        <v>45087</v>
      </c>
      <c r="K46" s="28" t="s">
        <v>67</v>
      </c>
      <c r="L46" s="28" t="s">
        <v>70</v>
      </c>
    </row>
    <row r="47" spans="2:12" x14ac:dyDescent="0.35">
      <c r="B47" s="28">
        <v>24</v>
      </c>
      <c r="C47" s="28">
        <v>342</v>
      </c>
      <c r="D47" s="28" t="s">
        <v>22</v>
      </c>
      <c r="E47" s="28" t="s">
        <v>31</v>
      </c>
      <c r="F47" s="28" t="s">
        <v>58</v>
      </c>
      <c r="G47" s="28" t="s">
        <v>66</v>
      </c>
      <c r="H47" s="29">
        <v>45007</v>
      </c>
      <c r="I47" s="29">
        <v>45080</v>
      </c>
      <c r="J47" s="29">
        <v>45087</v>
      </c>
      <c r="K47" s="28" t="s">
        <v>67</v>
      </c>
      <c r="L47" s="28" t="s">
        <v>70</v>
      </c>
    </row>
    <row r="48" spans="2:12" x14ac:dyDescent="0.35">
      <c r="B48" s="28">
        <v>25</v>
      </c>
      <c r="C48" s="28">
        <v>343</v>
      </c>
      <c r="D48" s="28" t="s">
        <v>23</v>
      </c>
      <c r="E48" s="28" t="s">
        <v>32</v>
      </c>
      <c r="F48" s="28" t="s">
        <v>59</v>
      </c>
      <c r="G48" s="28" t="s">
        <v>66</v>
      </c>
      <c r="H48" s="29">
        <v>45007</v>
      </c>
      <c r="I48" s="29">
        <v>45080</v>
      </c>
      <c r="J48" s="29">
        <v>45087</v>
      </c>
      <c r="K48" s="28" t="s">
        <v>67</v>
      </c>
      <c r="L48" s="28" t="s">
        <v>70</v>
      </c>
    </row>
    <row r="49" spans="2:12" x14ac:dyDescent="0.35">
      <c r="B49" s="28">
        <v>26</v>
      </c>
      <c r="C49" s="28">
        <v>344</v>
      </c>
      <c r="D49" s="28" t="s">
        <v>23</v>
      </c>
      <c r="E49" s="28" t="s">
        <v>32</v>
      </c>
      <c r="F49" s="28" t="s">
        <v>60</v>
      </c>
      <c r="G49" s="28" t="s">
        <v>66</v>
      </c>
      <c r="H49" s="29">
        <v>45007</v>
      </c>
      <c r="I49" s="29">
        <v>45080</v>
      </c>
      <c r="J49" s="29">
        <v>45087</v>
      </c>
      <c r="K49" s="28" t="s">
        <v>67</v>
      </c>
      <c r="L49" s="28" t="s">
        <v>70</v>
      </c>
    </row>
    <row r="50" spans="2:12" x14ac:dyDescent="0.35">
      <c r="B50" s="28">
        <v>27</v>
      </c>
      <c r="C50" s="28">
        <v>345</v>
      </c>
      <c r="D50" s="28" t="s">
        <v>23</v>
      </c>
      <c r="E50" s="28" t="s">
        <v>32</v>
      </c>
      <c r="F50" s="28" t="s">
        <v>61</v>
      </c>
      <c r="G50" s="28" t="s">
        <v>66</v>
      </c>
      <c r="H50" s="29">
        <v>45007</v>
      </c>
      <c r="I50" s="29">
        <v>45080</v>
      </c>
      <c r="J50" s="29">
        <v>45087</v>
      </c>
      <c r="K50" s="28" t="s">
        <v>67</v>
      </c>
      <c r="L50" s="28" t="s">
        <v>70</v>
      </c>
    </row>
    <row r="51" spans="2:12" x14ac:dyDescent="0.35">
      <c r="B51" s="28">
        <v>28</v>
      </c>
      <c r="C51" s="28">
        <v>346</v>
      </c>
      <c r="D51" s="28" t="s">
        <v>23</v>
      </c>
      <c r="E51" s="28" t="s">
        <v>33</v>
      </c>
      <c r="F51" s="28" t="s">
        <v>62</v>
      </c>
      <c r="G51" s="28" t="s">
        <v>66</v>
      </c>
      <c r="H51" s="29">
        <v>45007</v>
      </c>
      <c r="I51" s="29">
        <v>45080</v>
      </c>
      <c r="J51" s="29">
        <v>45087</v>
      </c>
      <c r="K51" s="28" t="s">
        <v>67</v>
      </c>
      <c r="L51" s="28" t="s">
        <v>70</v>
      </c>
    </row>
    <row r="52" spans="2:12" x14ac:dyDescent="0.35">
      <c r="B52" s="28">
        <v>29</v>
      </c>
      <c r="C52" s="28">
        <v>347</v>
      </c>
      <c r="D52" s="28" t="s">
        <v>23</v>
      </c>
      <c r="E52" s="28" t="s">
        <v>34</v>
      </c>
      <c r="F52" s="28" t="s">
        <v>63</v>
      </c>
      <c r="G52" s="28" t="s">
        <v>66</v>
      </c>
      <c r="H52" s="29">
        <v>45007</v>
      </c>
      <c r="I52" s="29">
        <v>45080</v>
      </c>
      <c r="J52" s="29">
        <v>45087</v>
      </c>
      <c r="K52" s="28" t="s">
        <v>67</v>
      </c>
      <c r="L52" s="28" t="s">
        <v>70</v>
      </c>
    </row>
    <row r="53" spans="2:12" x14ac:dyDescent="0.35">
      <c r="B53" s="28">
        <v>30</v>
      </c>
      <c r="C53" s="28">
        <v>348</v>
      </c>
      <c r="D53" s="28" t="s">
        <v>23</v>
      </c>
      <c r="E53" s="28" t="s">
        <v>34</v>
      </c>
      <c r="F53" s="28" t="s">
        <v>64</v>
      </c>
      <c r="G53" s="28" t="s">
        <v>66</v>
      </c>
      <c r="H53" s="29">
        <v>45007</v>
      </c>
      <c r="I53" s="29">
        <v>45080</v>
      </c>
      <c r="J53" s="29">
        <v>45087</v>
      </c>
      <c r="K53" s="28" t="s">
        <v>67</v>
      </c>
      <c r="L53" s="28" t="s">
        <v>70</v>
      </c>
    </row>
  </sheetData>
  <autoFilter ref="B23:L23" xr:uid="{BD7C7CEC-22DB-4D9E-88D5-27100784A49E}"/>
  <phoneticPr fontId="7" type="noConversion"/>
  <conditionalFormatting sqref="L24:L1048576">
    <cfRule type="cellIs" dxfId="1" priority="6" operator="equal">
      <formula>$E$9</formula>
    </cfRule>
    <cfRule type="cellIs" dxfId="2" priority="5" operator="equal">
      <formula>$E$10</formula>
    </cfRule>
    <cfRule type="cellIs" dxfId="3" priority="4" operator="equal">
      <formula>$E$11</formula>
    </cfRule>
    <cfRule type="cellIs" dxfId="4" priority="3" operator="equal">
      <formula>$E$12</formula>
    </cfRule>
    <cfRule type="cellIs" dxfId="5" priority="2" operator="equal">
      <formula>$E$13</formula>
    </cfRule>
    <cfRule type="cellIs" dxfId="0" priority="1" operator="equal">
      <formula>$E$14</formula>
    </cfRule>
  </conditionalFormatting>
  <dataValidations count="1">
    <dataValidation type="list" allowBlank="1" showInputMessage="1" showErrorMessage="1" sqref="L24:L1048576" xr:uid="{9B6912F1-1CB2-4493-8524-F820D8CAF53E}">
      <formula1>$E$9:$E$14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IT Request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Roberson, Benjamin Wesley (bwr6vw)</dc:creator>
  <cp:lastModifiedBy>Roberson, Benjamin Wesley (bwr6vw)</cp:lastModifiedBy>
  <dcterms:created xsi:type="dcterms:W3CDTF">2023-09-27T18:23:28Z</dcterms:created>
  <dcterms:modified xsi:type="dcterms:W3CDTF">2023-10-03T12:04:01Z</dcterms:modified>
</cp:coreProperties>
</file>